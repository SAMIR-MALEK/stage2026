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S\Desktop\Nouveau dossier (7)\"/>
    </mc:Choice>
  </mc:AlternateContent>
  <xr:revisionPtr revIDLastSave="0" documentId="13_ncr:1_{8FEB972E-D5AF-49B6-81A8-9B63F85A4DB4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المستخدمون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J24" i="1"/>
  <c r="J23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النظام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الأسلاك:
• أساتذة محاضرون → صيغة 1
• أساتذة مساعدون → صيغة 2
• طلبة دكتوراه → صيغة 3
• إداريون وتقنيون → صيغة 4</t>
        </r>
      </text>
    </comment>
  </commentList>
</comments>
</file>

<file path=xl/sharedStrings.xml><?xml version="1.0" encoding="utf-8"?>
<sst xmlns="http://schemas.openxmlformats.org/spreadsheetml/2006/main" count="594" uniqueCount="219">
  <si>
    <t>اسم_المستخدم</t>
  </si>
  <si>
    <t>كلمة_المرور</t>
  </si>
  <si>
    <t>الاسم_الكامل</t>
  </si>
  <si>
    <t>السلك</t>
  </si>
  <si>
    <t>الرتبة</t>
  </si>
  <si>
    <t>الصنف</t>
  </si>
  <si>
    <t>سنوات_الخدمة</t>
  </si>
  <si>
    <t>الدور</t>
  </si>
  <si>
    <t>الحالة</t>
  </si>
  <si>
    <t>نقاط_الرتبة</t>
  </si>
  <si>
    <t>حروف صغيرة بدون مسافات</t>
  </si>
  <si>
    <t>كلمة المرور</t>
  </si>
  <si>
    <t>الاسم الكامل</t>
  </si>
  <si>
    <t>أساتذة محاضرون / أساتذة مساعدون / طلبة دكتوراه / إداريون وتقنيون</t>
  </si>
  <si>
    <t>المنصب: مهندس / أستاذ محاضر أ / متصرف...</t>
  </si>
  <si>
    <t>رقم الصنف: 10، 11، 12...</t>
  </si>
  <si>
    <t>عدد سنوات الخدمة (رقم)</t>
  </si>
  <si>
    <t>مترشح / لجنة / إدارة</t>
  </si>
  <si>
    <t>active / inactive</t>
  </si>
  <si>
    <t>النقطة الافتراضية للرتبة (يحددها المسؤول)</t>
  </si>
  <si>
    <t>أساتذة محاضرون</t>
  </si>
  <si>
    <t>أستاذ التعليم العالي</t>
  </si>
  <si>
    <t>مترشح</t>
  </si>
  <si>
    <t>active</t>
  </si>
  <si>
    <t>أستاذ محاضر قسم أ</t>
  </si>
  <si>
    <t>bouzid</t>
  </si>
  <si>
    <t>أستاذ محاضر قسم ب</t>
  </si>
  <si>
    <t>أساتذة مساعدون</t>
  </si>
  <si>
    <t>أستاذ مساعد قسم أ</t>
  </si>
  <si>
    <t>إداريون وتقنيون</t>
  </si>
  <si>
    <t>متصرف</t>
  </si>
  <si>
    <t>تقني سامي</t>
  </si>
  <si>
    <t>لجنة الانتقاء</t>
  </si>
  <si>
    <t>لجنة</t>
  </si>
  <si>
    <t>admin</t>
  </si>
  <si>
    <t>مدير المنصة</t>
  </si>
  <si>
    <t>إدارة</t>
  </si>
  <si>
    <t>بن جدو رندة</t>
  </si>
  <si>
    <t>بوقرة مصطفى</t>
  </si>
  <si>
    <t>حنيش نوال</t>
  </si>
  <si>
    <t>ساعد سعود فظيلة</t>
  </si>
  <si>
    <t>مقيدش فوزية</t>
  </si>
  <si>
    <t>بلواعر آسيا</t>
  </si>
  <si>
    <t>بن بوقرة عبد المجيد</t>
  </si>
  <si>
    <t>بودرواز فؤاد</t>
  </si>
  <si>
    <t>عابد فطيمة</t>
  </si>
  <si>
    <t>بوناب  عبد الكريم</t>
  </si>
  <si>
    <t>شريف فتيحة</t>
  </si>
  <si>
    <t>كرورة دليلة</t>
  </si>
  <si>
    <t>قورداش عبد الله</t>
  </si>
  <si>
    <t>مروش خليصة</t>
  </si>
  <si>
    <t>محمادي هجيرة</t>
  </si>
  <si>
    <t>مالك سمير</t>
  </si>
  <si>
    <t>معضادي  الزهرة</t>
  </si>
  <si>
    <t>سعيداني فايزة</t>
  </si>
  <si>
    <t>حروز شوقي</t>
  </si>
  <si>
    <t xml:space="preserve">عدوي سميرة </t>
  </si>
  <si>
    <t>ياحي دليلة</t>
  </si>
  <si>
    <t>ذوادي عبد الله</t>
  </si>
  <si>
    <t>بركات مولود</t>
  </si>
  <si>
    <t>بريش ريمة</t>
  </si>
  <si>
    <t>بكيس عبد الحفيظ</t>
  </si>
  <si>
    <t>بلفروم محمد اليمين</t>
  </si>
  <si>
    <t>بلقسام مريم</t>
  </si>
  <si>
    <t>بلقمري ناهد</t>
  </si>
  <si>
    <t>بن النوي خالد</t>
  </si>
  <si>
    <t>بن داود حسين</t>
  </si>
  <si>
    <t>بن محمود بوزيد</t>
  </si>
  <si>
    <t>بن يحي بشير</t>
  </si>
  <si>
    <t>بوجادي صليحة</t>
  </si>
  <si>
    <t>بوعافية رضا</t>
  </si>
  <si>
    <t>بويحياوي امال</t>
  </si>
  <si>
    <t>حاجي عبد الحليم</t>
  </si>
  <si>
    <t>حربوش بوبكر</t>
  </si>
  <si>
    <t>خضري محمد</t>
  </si>
  <si>
    <t>خلفة سمير</t>
  </si>
  <si>
    <t>درارجة عبد الجليل</t>
  </si>
  <si>
    <t>دكدوك هودة</t>
  </si>
  <si>
    <t>ديرم سومية</t>
  </si>
  <si>
    <t>رفاف لخضر</t>
  </si>
  <si>
    <t>رمضاني مريم</t>
  </si>
  <si>
    <t>زاوي رفيق</t>
  </si>
  <si>
    <t>سي حمدي عبد المؤمن</t>
  </si>
  <si>
    <t>صحراوي شهر زاد</t>
  </si>
  <si>
    <t>صديقي سامية</t>
  </si>
  <si>
    <t>عثماني حمزة</t>
  </si>
  <si>
    <t>عشاش حمزة</t>
  </si>
  <si>
    <t>عياش حمزة</t>
  </si>
  <si>
    <t>غربي حورية</t>
  </si>
  <si>
    <t>مسعودان فتيحة</t>
  </si>
  <si>
    <t>بلعقون محمد الصالح</t>
  </si>
  <si>
    <t>بن حامة فارس</t>
  </si>
  <si>
    <t>بن مالك اسمهان</t>
  </si>
  <si>
    <t>بوقرة عيسى</t>
  </si>
  <si>
    <t>جحنيط خديجة</t>
  </si>
  <si>
    <t>خنتاش عبد الحق</t>
  </si>
  <si>
    <t>خوالفية رضا</t>
  </si>
  <si>
    <t>دريسي عبدالله</t>
  </si>
  <si>
    <t>زواوي رابح</t>
  </si>
  <si>
    <t>طاجين نسيمة</t>
  </si>
  <si>
    <t>طواهرية منى</t>
  </si>
  <si>
    <t>عيادي سعاد</t>
  </si>
  <si>
    <t xml:space="preserve">غرس الله  كريمة </t>
  </si>
  <si>
    <t>قيرة سعاد</t>
  </si>
  <si>
    <t>كوسة حليمة</t>
  </si>
  <si>
    <t>مناري عياشة</t>
  </si>
  <si>
    <t>نجار أمين</t>
  </si>
  <si>
    <t>دوار جميلة</t>
  </si>
  <si>
    <t>لعوارم وهيبة</t>
  </si>
  <si>
    <t>لفقير بولنوار</t>
  </si>
  <si>
    <t>ماني عبد الحق</t>
  </si>
  <si>
    <t>ميهوب يزيد</t>
  </si>
  <si>
    <t>هدفي العيد</t>
  </si>
  <si>
    <t>بوزيد نجيب</t>
  </si>
  <si>
    <t>عطوي مريم</t>
  </si>
  <si>
    <t>بن شويحة علي</t>
  </si>
  <si>
    <t>خرباش جميلة</t>
  </si>
  <si>
    <t>رياح لخضر</t>
  </si>
  <si>
    <t>عجيري عبد الوهاب</t>
  </si>
  <si>
    <t>مكاري نزيهة</t>
  </si>
  <si>
    <t>متصرف محلل</t>
  </si>
  <si>
    <t>متصرف رئيسي</t>
  </si>
  <si>
    <t>مساعد مهندس مستوى 22</t>
  </si>
  <si>
    <t>ملحق بالمكتبات المستوى 1</t>
  </si>
  <si>
    <t>ملحق رئيسي بالإدارة</t>
  </si>
  <si>
    <t>جرّاح أسنان عام رئيسي</t>
  </si>
  <si>
    <t>مهندس دولة</t>
  </si>
  <si>
    <t>مهندس رئيسي</t>
  </si>
  <si>
    <t>طبيب عام</t>
  </si>
  <si>
    <t>طبيب عام رئيسي</t>
  </si>
  <si>
    <t>أستاذ مساعد</t>
  </si>
  <si>
    <t>Subdivision 1</t>
  </si>
  <si>
    <t>Subdivision 6</t>
  </si>
  <si>
    <t>Subdivision 4</t>
  </si>
  <si>
    <t>Subdivision 7</t>
  </si>
  <si>
    <t>Subdivision 3</t>
  </si>
  <si>
    <t>bendjedou</t>
  </si>
  <si>
    <t xml:space="preserve">bouguerra </t>
  </si>
  <si>
    <t>haniche</t>
  </si>
  <si>
    <t>saadseoud</t>
  </si>
  <si>
    <t>mekideche</t>
  </si>
  <si>
    <t>belouer</t>
  </si>
  <si>
    <t xml:space="preserve">benbouguerra   </t>
  </si>
  <si>
    <t>bouderouaz</t>
  </si>
  <si>
    <t>abed</t>
  </si>
  <si>
    <t>bounab</t>
  </si>
  <si>
    <t>charif</t>
  </si>
  <si>
    <t>kroura</t>
  </si>
  <si>
    <t>kourdache</t>
  </si>
  <si>
    <t>merouche</t>
  </si>
  <si>
    <t>mohamadi</t>
  </si>
  <si>
    <t>malek</t>
  </si>
  <si>
    <t>maadadi</t>
  </si>
  <si>
    <t>saidani</t>
  </si>
  <si>
    <t>harrouz</t>
  </si>
  <si>
    <t>adoui</t>
  </si>
  <si>
    <t>yahi</t>
  </si>
  <si>
    <t>douadi</t>
  </si>
  <si>
    <t>barkat</t>
  </si>
  <si>
    <t>beriche</t>
  </si>
  <si>
    <t>bekkis</t>
  </si>
  <si>
    <t>belferroum</t>
  </si>
  <si>
    <t>belkessam</t>
  </si>
  <si>
    <t>belguemri</t>
  </si>
  <si>
    <t>bennoui</t>
  </si>
  <si>
    <t>bendaoud</t>
  </si>
  <si>
    <t>benmahmoud</t>
  </si>
  <si>
    <t>benyahya</t>
  </si>
  <si>
    <t>boudjadi</t>
  </si>
  <si>
    <t>bouafia</t>
  </si>
  <si>
    <t>bouyahiaoui</t>
  </si>
  <si>
    <t>hadji</t>
  </si>
  <si>
    <t>harbouche</t>
  </si>
  <si>
    <t>khodri</t>
  </si>
  <si>
    <t>khalfa</t>
  </si>
  <si>
    <t>derardja</t>
  </si>
  <si>
    <t>dakdouk</t>
  </si>
  <si>
    <t>direm</t>
  </si>
  <si>
    <t>reffaf</t>
  </si>
  <si>
    <t>ramdani</t>
  </si>
  <si>
    <t>zaoui</t>
  </si>
  <si>
    <t>sihamdi</t>
  </si>
  <si>
    <t>sahraoui</t>
  </si>
  <si>
    <t>seddiki</t>
  </si>
  <si>
    <t>athmani</t>
  </si>
  <si>
    <t>achache</t>
  </si>
  <si>
    <t>ayache</t>
  </si>
  <si>
    <t>gharbi</t>
  </si>
  <si>
    <t>messaoudene</t>
  </si>
  <si>
    <t>belaggoune</t>
  </si>
  <si>
    <t>benhama</t>
  </si>
  <si>
    <t>benmalek</t>
  </si>
  <si>
    <t>bouguerra</t>
  </si>
  <si>
    <t>djahnit</t>
  </si>
  <si>
    <t>khentache</t>
  </si>
  <si>
    <t>khoualfia</t>
  </si>
  <si>
    <t>abdellah</t>
  </si>
  <si>
    <t>zouaoui</t>
  </si>
  <si>
    <t>tadjine</t>
  </si>
  <si>
    <t>touahria</t>
  </si>
  <si>
    <t>ayadi</t>
  </si>
  <si>
    <t>ghersallah</t>
  </si>
  <si>
    <t>guira</t>
  </si>
  <si>
    <t>koussa</t>
  </si>
  <si>
    <t>manari</t>
  </si>
  <si>
    <t>nedjar</t>
  </si>
  <si>
    <t>douar</t>
  </si>
  <si>
    <t>laouarem</t>
  </si>
  <si>
    <t>lefkir</t>
  </si>
  <si>
    <t>mani</t>
  </si>
  <si>
    <t>mihoub</t>
  </si>
  <si>
    <t>hadfi</t>
  </si>
  <si>
    <t>atoui</t>
  </si>
  <si>
    <t>benchouiha</t>
  </si>
  <si>
    <t>kherbache</t>
  </si>
  <si>
    <t>riah</t>
  </si>
  <si>
    <t>adjiri</t>
  </si>
  <si>
    <t>mekkari</t>
  </si>
  <si>
    <t>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</si>
</sst>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9"/>
      <color rgb="FF7F8FA6"/>
      <name val="Arial"/>
      <family val="2"/>
    </font>
    <font>
      <sz val="10"/>
      <color rgb="FF1A2A3A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EEF3FA"/>
      </patternFill>
    </fill>
    <fill>
      <patternFill patternType="solid">
        <fgColor rgb="FFF8FAFD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8C4D0"/>
      </left>
      <right style="thin">
        <color rgb="FFB8C4D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1575;&#1604;&#1585;&#1578;&#1576;.xlsx" TargetMode="External"/><Relationship Id="rId2" Type="http://schemas.openxmlformats.org/officeDocument/2006/relationships/externalLinkPath" Target="file:///C:\Users\MAS\Desktop\&#1575;&#1604;&#1585;&#1578;&#1576;.xlsx" TargetMode="External"/><Relationship Id="rId1" Type="http://schemas.openxmlformats.org/officeDocument/2006/relationships/externalLinkPath" Target="/Users/MAS/Desktop/&#1575;&#1604;&#1585;&#1578;&#15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"/>
  <sheetViews>
    <sheetView tabSelected="1" workbookViewId="0">
      <pane ySplit="2" topLeftCell="A3" activePane="bottomLeft" state="frozen"/>
      <selection pane="bottomLeft" activeCell="A20" sqref="A20"/>
    </sheetView>
  </sheetViews>
  <sheetFormatPr baseColWidth="10" defaultColWidth="9.140625" defaultRowHeight="15" x14ac:dyDescent="0.25"/>
  <cols>
    <col min="1" max="1" width="18" customWidth="1"/>
    <col min="2" max="2" width="16" customWidth="1"/>
    <col min="3" max="3" width="28" customWidth="1"/>
    <col min="4" max="4" width="30" customWidth="1"/>
    <col min="5" max="5" width="47.5703125" bestFit="1" customWidth="1"/>
    <col min="6" max="6" width="12.7109375" bestFit="1" customWidth="1"/>
    <col min="7" max="7" width="16" customWidth="1"/>
    <col min="8" max="8" width="14" customWidth="1"/>
    <col min="9" max="9" width="12" customWidth="1"/>
    <col min="10" max="10" width="16" customWidth="1"/>
  </cols>
  <sheetData>
    <row r="1" spans="1:10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39.950000000000003" customHeight="1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</row>
    <row r="3" spans="1:10" ht="21.95" customHeight="1" x14ac:dyDescent="0.25">
      <c r="A3" s="3" t="s">
        <v>218</v>
      </c>
      <c r="B3" s="3" t="s">
        <v>218</v>
      </c>
      <c r="C3" s="3" t="s">
        <v>32</v>
      </c>
      <c r="D3" s="3" t="s">
        <v>32</v>
      </c>
      <c r="E3" s="3" t="s">
        <v>32</v>
      </c>
      <c r="F3" s="3"/>
      <c r="G3" s="3"/>
      <c r="H3" s="3" t="s">
        <v>33</v>
      </c>
      <c r="I3" s="3" t="s">
        <v>23</v>
      </c>
      <c r="J3" s="3"/>
    </row>
    <row r="4" spans="1:10" ht="21.95" customHeight="1" x14ac:dyDescent="0.25">
      <c r="A4" s="4" t="s">
        <v>34</v>
      </c>
      <c r="B4" s="4" t="s">
        <v>34</v>
      </c>
      <c r="C4" s="4" t="s">
        <v>35</v>
      </c>
      <c r="D4" s="4" t="s">
        <v>35</v>
      </c>
      <c r="E4" s="4" t="s">
        <v>35</v>
      </c>
      <c r="F4" s="4"/>
      <c r="G4" s="4"/>
      <c r="H4" s="4" t="s">
        <v>36</v>
      </c>
      <c r="I4" s="4" t="s">
        <v>23</v>
      </c>
      <c r="J4" s="4"/>
    </row>
    <row r="5" spans="1:10" x14ac:dyDescent="0.25">
      <c r="A5" s="6" t="s">
        <v>136</v>
      </c>
      <c r="B5" s="6">
        <v>2015</v>
      </c>
      <c r="C5" s="6" t="s">
        <v>37</v>
      </c>
      <c r="D5" s="4" t="s">
        <v>29</v>
      </c>
      <c r="E5" s="6" t="s">
        <v>30</v>
      </c>
      <c r="F5" s="6">
        <v>12</v>
      </c>
      <c r="G5" s="6">
        <v>10</v>
      </c>
      <c r="H5" s="4" t="s">
        <v>22</v>
      </c>
      <c r="I5" s="4" t="s">
        <v>23</v>
      </c>
      <c r="J5" s="7">
        <f>INDEX([1]!Tableau1[النقطة التي تحسب في السلم],MATCH(F5,[1]!Tableau1[الصنف],0),1)</f>
        <v>9</v>
      </c>
    </row>
    <row r="6" spans="1:10" x14ac:dyDescent="0.25">
      <c r="A6" s="6" t="s">
        <v>137</v>
      </c>
      <c r="B6" s="6">
        <v>2007</v>
      </c>
      <c r="C6" s="6" t="s">
        <v>38</v>
      </c>
      <c r="D6" s="4" t="s">
        <v>29</v>
      </c>
      <c r="E6" s="6" t="s">
        <v>30</v>
      </c>
      <c r="F6" s="6">
        <v>12</v>
      </c>
      <c r="G6" s="6">
        <v>18</v>
      </c>
      <c r="H6" s="4" t="s">
        <v>22</v>
      </c>
      <c r="I6" s="4" t="s">
        <v>23</v>
      </c>
      <c r="J6" s="7">
        <f>INDEX([1]!Tableau1[النقطة التي تحسب في السلم],MATCH(F6,[1]!Tableau1[الصنف],0),1)</f>
        <v>9</v>
      </c>
    </row>
    <row r="7" spans="1:10" x14ac:dyDescent="0.25">
      <c r="A7" s="6" t="s">
        <v>138</v>
      </c>
      <c r="B7" s="6">
        <v>2019</v>
      </c>
      <c r="C7" s="6" t="s">
        <v>39</v>
      </c>
      <c r="D7" s="4" t="s">
        <v>29</v>
      </c>
      <c r="E7" s="6" t="s">
        <v>30</v>
      </c>
      <c r="F7" s="6">
        <v>12</v>
      </c>
      <c r="G7" s="6">
        <v>6</v>
      </c>
      <c r="H7" s="4" t="s">
        <v>22</v>
      </c>
      <c r="I7" s="4" t="s">
        <v>23</v>
      </c>
      <c r="J7" s="7">
        <f>INDEX([1]!Tableau1[النقطة التي تحسب في السلم],MATCH(F7,[1]!Tableau1[الصنف],0),1)</f>
        <v>9</v>
      </c>
    </row>
    <row r="8" spans="1:10" x14ac:dyDescent="0.25">
      <c r="A8" s="6" t="s">
        <v>139</v>
      </c>
      <c r="B8" s="6">
        <v>2019</v>
      </c>
      <c r="C8" s="6" t="s">
        <v>40</v>
      </c>
      <c r="D8" s="4" t="s">
        <v>29</v>
      </c>
      <c r="E8" s="6" t="s">
        <v>30</v>
      </c>
      <c r="F8" s="6">
        <v>12</v>
      </c>
      <c r="G8" s="6">
        <v>6</v>
      </c>
      <c r="H8" s="4" t="s">
        <v>22</v>
      </c>
      <c r="I8" s="4" t="s">
        <v>23</v>
      </c>
      <c r="J8" s="7">
        <f>INDEX([1]!Tableau1[النقطة التي تحسب في السلم],MATCH(F8,[1]!Tableau1[الصنف],0),1)</f>
        <v>9</v>
      </c>
    </row>
    <row r="9" spans="1:10" x14ac:dyDescent="0.25">
      <c r="A9" s="6" t="s">
        <v>140</v>
      </c>
      <c r="B9" s="6">
        <v>2021</v>
      </c>
      <c r="C9" s="6" t="s">
        <v>41</v>
      </c>
      <c r="D9" s="4" t="s">
        <v>29</v>
      </c>
      <c r="E9" s="6" t="s">
        <v>30</v>
      </c>
      <c r="F9" s="6">
        <v>12</v>
      </c>
      <c r="G9" s="6">
        <v>4</v>
      </c>
      <c r="H9" s="4" t="s">
        <v>22</v>
      </c>
      <c r="I9" s="4" t="s">
        <v>23</v>
      </c>
      <c r="J9" s="7">
        <f>INDEX([1]!Tableau1[النقطة التي تحسب في السلم],MATCH(F9,[1]!Tableau1[الصنف],0),1)</f>
        <v>9</v>
      </c>
    </row>
    <row r="10" spans="1:10" x14ac:dyDescent="0.25">
      <c r="A10" s="6" t="s">
        <v>141</v>
      </c>
      <c r="B10" s="6">
        <v>2007</v>
      </c>
      <c r="C10" s="6" t="s">
        <v>42</v>
      </c>
      <c r="D10" s="4" t="s">
        <v>29</v>
      </c>
      <c r="E10" s="6" t="s">
        <v>120</v>
      </c>
      <c r="F10" s="6">
        <v>13</v>
      </c>
      <c r="G10" s="6">
        <v>18</v>
      </c>
      <c r="H10" s="4" t="s">
        <v>22</v>
      </c>
      <c r="I10" s="4" t="s">
        <v>23</v>
      </c>
      <c r="J10" s="7">
        <f>INDEX([1]!Tableau1[النقطة التي تحسب في السلم],MATCH(F10,[1]!Tableau1[الصنف],0),1)</f>
        <v>9.5</v>
      </c>
    </row>
    <row r="11" spans="1:10" x14ac:dyDescent="0.25">
      <c r="A11" s="6" t="s">
        <v>142</v>
      </c>
      <c r="B11" s="6">
        <v>2008</v>
      </c>
      <c r="C11" s="6" t="s">
        <v>43</v>
      </c>
      <c r="D11" s="4" t="s">
        <v>29</v>
      </c>
      <c r="E11" s="6" t="s">
        <v>120</v>
      </c>
      <c r="F11" s="6">
        <v>13</v>
      </c>
      <c r="G11" s="6">
        <v>17</v>
      </c>
      <c r="H11" s="4" t="s">
        <v>22</v>
      </c>
      <c r="I11" s="4" t="s">
        <v>23</v>
      </c>
      <c r="J11" s="7">
        <f>INDEX([1]!Tableau1[النقطة التي تحسب في السلم],MATCH(F11,[1]!Tableau1[الصنف],0),1)</f>
        <v>9.5</v>
      </c>
    </row>
    <row r="12" spans="1:10" x14ac:dyDescent="0.25">
      <c r="A12" s="6" t="s">
        <v>143</v>
      </c>
      <c r="B12" s="6">
        <v>2015</v>
      </c>
      <c r="C12" s="6" t="s">
        <v>44</v>
      </c>
      <c r="D12" s="4" t="s">
        <v>29</v>
      </c>
      <c r="E12" s="6" t="s">
        <v>121</v>
      </c>
      <c r="F12" s="6">
        <v>14</v>
      </c>
      <c r="G12" s="6">
        <v>10</v>
      </c>
      <c r="H12" s="4" t="s">
        <v>22</v>
      </c>
      <c r="I12" s="4" t="s">
        <v>23</v>
      </c>
      <c r="J12" s="7">
        <f>INDEX([1]!Tableau1[النقطة التي تحسب في السلم],MATCH(F12,[1]!Tableau1[الصنف],0),1)</f>
        <v>10</v>
      </c>
    </row>
    <row r="13" spans="1:10" x14ac:dyDescent="0.25">
      <c r="A13" s="6" t="s">
        <v>144</v>
      </c>
      <c r="B13" s="6">
        <v>2013</v>
      </c>
      <c r="C13" s="6" t="s">
        <v>45</v>
      </c>
      <c r="D13" s="4" t="s">
        <v>29</v>
      </c>
      <c r="E13" s="6" t="s">
        <v>121</v>
      </c>
      <c r="F13" s="6">
        <v>14</v>
      </c>
      <c r="G13" s="6">
        <v>13</v>
      </c>
      <c r="H13" s="4" t="s">
        <v>22</v>
      </c>
      <c r="I13" s="4" t="s">
        <v>23</v>
      </c>
      <c r="J13" s="7">
        <f>INDEX([1]!Tableau1[النقطة التي تحسب في السلم],MATCH(F13,[1]!Tableau1[الصنف],0),1)</f>
        <v>10</v>
      </c>
    </row>
    <row r="14" spans="1:10" x14ac:dyDescent="0.25">
      <c r="A14" s="6" t="s">
        <v>145</v>
      </c>
      <c r="B14" s="6">
        <v>2014</v>
      </c>
      <c r="C14" s="6" t="s">
        <v>46</v>
      </c>
      <c r="D14" s="4" t="s">
        <v>29</v>
      </c>
      <c r="E14" s="6" t="s">
        <v>122</v>
      </c>
      <c r="F14" s="6">
        <v>12</v>
      </c>
      <c r="G14" s="6">
        <v>12</v>
      </c>
      <c r="H14" s="4" t="s">
        <v>22</v>
      </c>
      <c r="I14" s="4" t="s">
        <v>23</v>
      </c>
      <c r="J14" s="7">
        <f>INDEX([1]!Tableau1[النقطة التي تحسب في السلم],MATCH(F14,[1]!Tableau1[الصنف],0),1)</f>
        <v>9</v>
      </c>
    </row>
    <row r="15" spans="1:10" x14ac:dyDescent="0.25">
      <c r="A15" s="6" t="s">
        <v>146</v>
      </c>
      <c r="B15" s="6">
        <v>2020</v>
      </c>
      <c r="C15" s="6" t="s">
        <v>47</v>
      </c>
      <c r="D15" s="4" t="s">
        <v>29</v>
      </c>
      <c r="E15" s="6" t="s">
        <v>123</v>
      </c>
      <c r="F15" s="6">
        <v>12</v>
      </c>
      <c r="G15" s="6">
        <v>5</v>
      </c>
      <c r="H15" s="4" t="s">
        <v>22</v>
      </c>
      <c r="I15" s="4" t="s">
        <v>23</v>
      </c>
      <c r="J15" s="7">
        <f>INDEX([1]!Tableau1[النقطة التي تحسب في السلم],MATCH(F15,[1]!Tableau1[الصنف],0),1)</f>
        <v>9</v>
      </c>
    </row>
    <row r="16" spans="1:10" x14ac:dyDescent="0.25">
      <c r="A16" s="6" t="s">
        <v>147</v>
      </c>
      <c r="B16" s="6">
        <v>2013</v>
      </c>
      <c r="C16" s="6" t="s">
        <v>48</v>
      </c>
      <c r="D16" s="4" t="s">
        <v>29</v>
      </c>
      <c r="E16" s="6" t="s">
        <v>123</v>
      </c>
      <c r="F16" s="6">
        <v>12</v>
      </c>
      <c r="G16" s="6">
        <v>13</v>
      </c>
      <c r="H16" s="4" t="s">
        <v>22</v>
      </c>
      <c r="I16" s="4" t="s">
        <v>23</v>
      </c>
      <c r="J16" s="7">
        <f>INDEX([1]!Tableau1[النقطة التي تحسب في السلم],MATCH(F16,[1]!Tableau1[الصنف],0),1)</f>
        <v>9</v>
      </c>
    </row>
    <row r="17" spans="1:10" x14ac:dyDescent="0.25">
      <c r="A17" s="6" t="s">
        <v>148</v>
      </c>
      <c r="B17" s="6">
        <v>2016</v>
      </c>
      <c r="C17" s="6" t="s">
        <v>49</v>
      </c>
      <c r="D17" s="4" t="s">
        <v>29</v>
      </c>
      <c r="E17" s="6" t="s">
        <v>124</v>
      </c>
      <c r="F17" s="6">
        <v>10</v>
      </c>
      <c r="G17" s="6">
        <v>9</v>
      </c>
      <c r="H17" s="4" t="s">
        <v>22</v>
      </c>
      <c r="I17" s="4" t="s">
        <v>23</v>
      </c>
      <c r="J17" s="7">
        <f>INDEX([1]!Tableau1[النقطة التي تحسب في السلم],MATCH(F17,[1]!Tableau1[الصنف],0),1)</f>
        <v>8</v>
      </c>
    </row>
    <row r="18" spans="1:10" x14ac:dyDescent="0.25">
      <c r="A18" s="6" t="s">
        <v>149</v>
      </c>
      <c r="B18" s="6">
        <v>2009</v>
      </c>
      <c r="C18" s="6" t="s">
        <v>50</v>
      </c>
      <c r="D18" s="4" t="s">
        <v>29</v>
      </c>
      <c r="E18" s="6" t="s">
        <v>125</v>
      </c>
      <c r="F18" s="6">
        <v>13</v>
      </c>
      <c r="G18" s="6">
        <v>17</v>
      </c>
      <c r="H18" s="4" t="s">
        <v>22</v>
      </c>
      <c r="I18" s="4" t="s">
        <v>23</v>
      </c>
      <c r="J18" s="7">
        <f>INDEX([1]!Tableau1[النقطة التي تحسب في السلم],MATCH(F18,[1]!Tableau1[الصنف],0),1)</f>
        <v>9.5</v>
      </c>
    </row>
    <row r="19" spans="1:10" x14ac:dyDescent="0.25">
      <c r="A19" s="6" t="s">
        <v>150</v>
      </c>
      <c r="B19" s="6">
        <v>2016</v>
      </c>
      <c r="C19" s="6" t="s">
        <v>51</v>
      </c>
      <c r="D19" s="4" t="s">
        <v>29</v>
      </c>
      <c r="E19" s="6" t="s">
        <v>126</v>
      </c>
      <c r="F19" s="6">
        <v>13</v>
      </c>
      <c r="G19" s="6">
        <v>9</v>
      </c>
      <c r="H19" s="4" t="s">
        <v>22</v>
      </c>
      <c r="I19" s="4" t="s">
        <v>23</v>
      </c>
      <c r="J19" s="7">
        <f>INDEX([1]!Tableau1[النقطة التي تحسب في السلم],MATCH(F19,[1]!Tableau1[الصنف],0),1)</f>
        <v>9.5</v>
      </c>
    </row>
    <row r="20" spans="1:10" x14ac:dyDescent="0.25">
      <c r="A20" s="6" t="s">
        <v>151</v>
      </c>
      <c r="B20" s="6">
        <v>2011</v>
      </c>
      <c r="C20" s="6" t="s">
        <v>52</v>
      </c>
      <c r="D20" s="4" t="s">
        <v>29</v>
      </c>
      <c r="E20" s="6" t="s">
        <v>127</v>
      </c>
      <c r="F20" s="6">
        <v>14</v>
      </c>
      <c r="G20" s="6">
        <v>14</v>
      </c>
      <c r="H20" s="4" t="s">
        <v>22</v>
      </c>
      <c r="I20" s="4" t="s">
        <v>23</v>
      </c>
      <c r="J20" s="7">
        <f>INDEX([1]!Tableau1[النقطة التي تحسب في السلم],MATCH(F20,[1]!Tableau1[الصنف],0),1)</f>
        <v>10</v>
      </c>
    </row>
    <row r="21" spans="1:10" x14ac:dyDescent="0.25">
      <c r="A21" s="6" t="s">
        <v>152</v>
      </c>
      <c r="B21" s="6">
        <v>2018</v>
      </c>
      <c r="C21" s="6" t="s">
        <v>53</v>
      </c>
      <c r="D21" s="4" t="s">
        <v>29</v>
      </c>
      <c r="E21" s="6" t="s">
        <v>128</v>
      </c>
      <c r="F21" s="6">
        <v>18</v>
      </c>
      <c r="G21" s="6">
        <v>7</v>
      </c>
      <c r="H21" s="4" t="s">
        <v>22</v>
      </c>
      <c r="I21" s="4" t="s">
        <v>23</v>
      </c>
      <c r="J21" s="7">
        <v>12</v>
      </c>
    </row>
    <row r="22" spans="1:10" x14ac:dyDescent="0.25">
      <c r="A22" s="6" t="s">
        <v>153</v>
      </c>
      <c r="B22" s="6">
        <v>2002</v>
      </c>
      <c r="C22" s="6" t="s">
        <v>54</v>
      </c>
      <c r="D22" s="4" t="s">
        <v>29</v>
      </c>
      <c r="E22" s="6" t="s">
        <v>129</v>
      </c>
      <c r="F22" s="6">
        <v>18</v>
      </c>
      <c r="G22" s="6">
        <v>23</v>
      </c>
      <c r="H22" s="4" t="s">
        <v>22</v>
      </c>
      <c r="I22" s="4" t="s">
        <v>23</v>
      </c>
      <c r="J22" s="7">
        <v>12</v>
      </c>
    </row>
    <row r="23" spans="1:10" x14ac:dyDescent="0.25">
      <c r="A23" s="6" t="s">
        <v>154</v>
      </c>
      <c r="B23" s="6">
        <v>2006</v>
      </c>
      <c r="C23" s="6" t="s">
        <v>55</v>
      </c>
      <c r="D23" s="4" t="s">
        <v>29</v>
      </c>
      <c r="E23" s="6" t="s">
        <v>31</v>
      </c>
      <c r="F23" s="6">
        <v>10</v>
      </c>
      <c r="G23" s="6">
        <v>19</v>
      </c>
      <c r="H23" s="4" t="s">
        <v>22</v>
      </c>
      <c r="I23" s="4" t="s">
        <v>23</v>
      </c>
      <c r="J23" s="7">
        <f>INDEX([1]!Tableau1[النقطة التي تحسب في السلم],MATCH(F23,[1]!Tableau1[الصنف],0),1)</f>
        <v>8</v>
      </c>
    </row>
    <row r="24" spans="1:10" x14ac:dyDescent="0.25">
      <c r="A24" s="6" t="s">
        <v>155</v>
      </c>
      <c r="B24" s="6">
        <v>2016</v>
      </c>
      <c r="C24" s="6" t="s">
        <v>56</v>
      </c>
      <c r="D24" s="4" t="s">
        <v>29</v>
      </c>
      <c r="E24" s="6" t="s">
        <v>31</v>
      </c>
      <c r="F24" s="6">
        <v>10</v>
      </c>
      <c r="G24" s="6">
        <v>9</v>
      </c>
      <c r="H24" s="4" t="s">
        <v>22</v>
      </c>
      <c r="I24" s="4" t="s">
        <v>23</v>
      </c>
      <c r="J24" s="7">
        <f>INDEX([1]!Tableau1[النقطة التي تحسب في السلم],MATCH(F24,[1]!Tableau1[الصنف],0),1)</f>
        <v>8</v>
      </c>
    </row>
    <row r="25" spans="1:10" x14ac:dyDescent="0.25">
      <c r="A25" s="6" t="s">
        <v>156</v>
      </c>
      <c r="B25" s="6">
        <v>2013</v>
      </c>
      <c r="C25" s="6" t="s">
        <v>57</v>
      </c>
      <c r="D25" s="4" t="s">
        <v>29</v>
      </c>
      <c r="E25" s="6" t="s">
        <v>31</v>
      </c>
      <c r="F25" s="6">
        <v>10</v>
      </c>
      <c r="G25" s="6">
        <v>13</v>
      </c>
      <c r="H25" s="4" t="s">
        <v>22</v>
      </c>
      <c r="I25" s="4" t="s">
        <v>23</v>
      </c>
      <c r="J25" s="7">
        <f>INDEX([1]!Tableau1[النقطة التي تحسب في السلم],MATCH(F25,[1]!Tableau1[الصنف],0),1)</f>
        <v>8</v>
      </c>
    </row>
    <row r="26" spans="1:10" x14ac:dyDescent="0.25">
      <c r="A26" s="6" t="s">
        <v>157</v>
      </c>
      <c r="B26" s="6">
        <v>2020</v>
      </c>
      <c r="C26" s="6" t="s">
        <v>58</v>
      </c>
      <c r="D26" s="4" t="s">
        <v>20</v>
      </c>
      <c r="E26" s="6" t="s">
        <v>26</v>
      </c>
      <c r="F26" s="6" t="s">
        <v>131</v>
      </c>
      <c r="G26" s="6">
        <v>5</v>
      </c>
      <c r="H26" s="4" t="s">
        <v>22</v>
      </c>
      <c r="I26" s="4" t="s">
        <v>23</v>
      </c>
      <c r="J26">
        <v>4</v>
      </c>
    </row>
    <row r="27" spans="1:10" x14ac:dyDescent="0.25">
      <c r="A27" s="6" t="s">
        <v>158</v>
      </c>
      <c r="B27" s="6">
        <v>2011</v>
      </c>
      <c r="C27" s="6" t="s">
        <v>59</v>
      </c>
      <c r="D27" s="4" t="s">
        <v>20</v>
      </c>
      <c r="E27" s="6" t="s">
        <v>24</v>
      </c>
      <c r="F27" s="6" t="s">
        <v>132</v>
      </c>
      <c r="G27" s="6">
        <v>14</v>
      </c>
      <c r="H27" s="4" t="s">
        <v>22</v>
      </c>
      <c r="I27" s="4" t="s">
        <v>23</v>
      </c>
      <c r="J27">
        <v>5</v>
      </c>
    </row>
    <row r="28" spans="1:10" x14ac:dyDescent="0.25">
      <c r="A28" s="6" t="s">
        <v>159</v>
      </c>
      <c r="B28" s="6">
        <v>2014</v>
      </c>
      <c r="C28" s="6" t="s">
        <v>60</v>
      </c>
      <c r="D28" s="4" t="s">
        <v>20</v>
      </c>
      <c r="E28" s="6" t="s">
        <v>24</v>
      </c>
      <c r="F28" s="6" t="s">
        <v>132</v>
      </c>
      <c r="G28" s="6">
        <v>11</v>
      </c>
      <c r="H28" s="4" t="s">
        <v>22</v>
      </c>
      <c r="I28" s="4" t="s">
        <v>23</v>
      </c>
      <c r="J28">
        <v>5</v>
      </c>
    </row>
    <row r="29" spans="1:10" x14ac:dyDescent="0.25">
      <c r="A29" s="6" t="s">
        <v>160</v>
      </c>
      <c r="B29" s="6">
        <v>2017</v>
      </c>
      <c r="C29" s="6" t="s">
        <v>61</v>
      </c>
      <c r="D29" s="4" t="s">
        <v>20</v>
      </c>
      <c r="E29" s="6" t="s">
        <v>24</v>
      </c>
      <c r="F29" s="6" t="s">
        <v>132</v>
      </c>
      <c r="G29" s="6">
        <v>9</v>
      </c>
      <c r="H29" s="4" t="s">
        <v>22</v>
      </c>
      <c r="I29" s="4" t="s">
        <v>23</v>
      </c>
      <c r="J29">
        <v>5</v>
      </c>
    </row>
    <row r="30" spans="1:10" x14ac:dyDescent="0.25">
      <c r="A30" s="6" t="s">
        <v>161</v>
      </c>
      <c r="B30" s="6">
        <v>2013</v>
      </c>
      <c r="C30" s="6" t="s">
        <v>62</v>
      </c>
      <c r="D30" s="4" t="s">
        <v>20</v>
      </c>
      <c r="E30" s="6" t="s">
        <v>24</v>
      </c>
      <c r="F30" s="6" t="s">
        <v>132</v>
      </c>
      <c r="G30" s="6">
        <v>12</v>
      </c>
      <c r="H30" s="4" t="s">
        <v>22</v>
      </c>
      <c r="I30" s="4" t="s">
        <v>23</v>
      </c>
      <c r="J30">
        <v>5</v>
      </c>
    </row>
    <row r="31" spans="1:10" x14ac:dyDescent="0.25">
      <c r="A31" s="6" t="s">
        <v>162</v>
      </c>
      <c r="B31" s="6">
        <v>2017</v>
      </c>
      <c r="C31" s="6" t="s">
        <v>63</v>
      </c>
      <c r="D31" s="4" t="s">
        <v>20</v>
      </c>
      <c r="E31" s="6" t="s">
        <v>24</v>
      </c>
      <c r="F31" s="6" t="s">
        <v>132</v>
      </c>
      <c r="G31" s="6">
        <v>8</v>
      </c>
      <c r="H31" s="4" t="s">
        <v>22</v>
      </c>
      <c r="I31" s="4" t="s">
        <v>23</v>
      </c>
      <c r="J31">
        <v>5</v>
      </c>
    </row>
    <row r="32" spans="1:10" x14ac:dyDescent="0.25">
      <c r="A32" s="6" t="s">
        <v>163</v>
      </c>
      <c r="B32" s="6">
        <v>2020</v>
      </c>
      <c r="C32" s="6" t="s">
        <v>64</v>
      </c>
      <c r="D32" s="4" t="s">
        <v>20</v>
      </c>
      <c r="E32" s="6" t="s">
        <v>24</v>
      </c>
      <c r="F32" s="6" t="s">
        <v>132</v>
      </c>
      <c r="G32" s="6">
        <v>6</v>
      </c>
      <c r="H32" s="4" t="s">
        <v>22</v>
      </c>
      <c r="I32" s="4" t="s">
        <v>23</v>
      </c>
      <c r="J32">
        <v>5</v>
      </c>
    </row>
    <row r="33" spans="1:10" x14ac:dyDescent="0.25">
      <c r="A33" s="6" t="s">
        <v>164</v>
      </c>
      <c r="B33" s="6">
        <v>2014</v>
      </c>
      <c r="C33" s="6" t="s">
        <v>65</v>
      </c>
      <c r="D33" s="4" t="s">
        <v>20</v>
      </c>
      <c r="E33" s="6" t="s">
        <v>24</v>
      </c>
      <c r="F33" s="6" t="s">
        <v>132</v>
      </c>
      <c r="G33" s="6">
        <v>11</v>
      </c>
      <c r="H33" s="4" t="s">
        <v>22</v>
      </c>
      <c r="I33" s="4" t="s">
        <v>23</v>
      </c>
      <c r="J33">
        <v>5</v>
      </c>
    </row>
    <row r="34" spans="1:10" x14ac:dyDescent="0.25">
      <c r="A34" s="6" t="s">
        <v>165</v>
      </c>
      <c r="B34" s="6">
        <v>2005</v>
      </c>
      <c r="C34" s="6" t="s">
        <v>66</v>
      </c>
      <c r="D34" s="4" t="s">
        <v>20</v>
      </c>
      <c r="E34" s="6" t="s">
        <v>24</v>
      </c>
      <c r="F34" s="6" t="s">
        <v>132</v>
      </c>
      <c r="G34" s="6">
        <v>20</v>
      </c>
      <c r="H34" s="4" t="s">
        <v>22</v>
      </c>
      <c r="I34" s="4" t="s">
        <v>23</v>
      </c>
      <c r="J34">
        <v>5</v>
      </c>
    </row>
    <row r="35" spans="1:10" x14ac:dyDescent="0.25">
      <c r="A35" s="6" t="s">
        <v>166</v>
      </c>
      <c r="B35" s="6">
        <v>2016</v>
      </c>
      <c r="C35" s="6" t="s">
        <v>67</v>
      </c>
      <c r="D35" s="4" t="s">
        <v>20</v>
      </c>
      <c r="E35" s="6" t="s">
        <v>24</v>
      </c>
      <c r="F35" s="6" t="s">
        <v>132</v>
      </c>
      <c r="G35" s="6">
        <v>10</v>
      </c>
      <c r="H35" s="4" t="s">
        <v>22</v>
      </c>
      <c r="I35" s="4" t="s">
        <v>23</v>
      </c>
      <c r="J35">
        <v>5</v>
      </c>
    </row>
    <row r="36" spans="1:10" x14ac:dyDescent="0.25">
      <c r="A36" s="6" t="s">
        <v>167</v>
      </c>
      <c r="B36" s="6">
        <v>2004</v>
      </c>
      <c r="C36" s="6" t="s">
        <v>68</v>
      </c>
      <c r="D36" s="4" t="s">
        <v>20</v>
      </c>
      <c r="E36" s="6" t="s">
        <v>24</v>
      </c>
      <c r="F36" s="6" t="s">
        <v>132</v>
      </c>
      <c r="G36" s="6">
        <v>21</v>
      </c>
      <c r="H36" s="4" t="s">
        <v>22</v>
      </c>
      <c r="I36" s="4" t="s">
        <v>23</v>
      </c>
      <c r="J36">
        <v>5</v>
      </c>
    </row>
    <row r="37" spans="1:10" x14ac:dyDescent="0.25">
      <c r="A37" s="6" t="s">
        <v>168</v>
      </c>
      <c r="B37" s="6">
        <v>2006</v>
      </c>
      <c r="C37" s="6" t="s">
        <v>69</v>
      </c>
      <c r="D37" s="4" t="s">
        <v>20</v>
      </c>
      <c r="E37" s="6" t="s">
        <v>24</v>
      </c>
      <c r="F37" s="6" t="s">
        <v>132</v>
      </c>
      <c r="G37" s="6">
        <v>19</v>
      </c>
      <c r="H37" s="4" t="s">
        <v>22</v>
      </c>
      <c r="I37" s="4" t="s">
        <v>23</v>
      </c>
      <c r="J37">
        <v>5</v>
      </c>
    </row>
    <row r="38" spans="1:10" x14ac:dyDescent="0.25">
      <c r="A38" s="6" t="s">
        <v>169</v>
      </c>
      <c r="B38" s="6">
        <v>2010</v>
      </c>
      <c r="C38" s="6" t="s">
        <v>70</v>
      </c>
      <c r="D38" s="4" t="s">
        <v>20</v>
      </c>
      <c r="E38" s="6" t="s">
        <v>24</v>
      </c>
      <c r="F38" s="6" t="s">
        <v>132</v>
      </c>
      <c r="G38" s="6">
        <v>15</v>
      </c>
      <c r="H38" s="4" t="s">
        <v>22</v>
      </c>
      <c r="I38" s="4" t="s">
        <v>23</v>
      </c>
      <c r="J38">
        <v>5</v>
      </c>
    </row>
    <row r="39" spans="1:10" x14ac:dyDescent="0.25">
      <c r="A39" s="6" t="s">
        <v>170</v>
      </c>
      <c r="B39" s="6">
        <v>2016</v>
      </c>
      <c r="C39" s="6" t="s">
        <v>71</v>
      </c>
      <c r="D39" s="4" t="s">
        <v>20</v>
      </c>
      <c r="E39" s="6" t="s">
        <v>24</v>
      </c>
      <c r="F39" s="6" t="s">
        <v>132</v>
      </c>
      <c r="G39" s="6">
        <v>9</v>
      </c>
      <c r="H39" s="4" t="s">
        <v>22</v>
      </c>
      <c r="I39" s="4" t="s">
        <v>23</v>
      </c>
      <c r="J39">
        <v>5</v>
      </c>
    </row>
    <row r="40" spans="1:10" x14ac:dyDescent="0.25">
      <c r="A40" s="6" t="s">
        <v>171</v>
      </c>
      <c r="B40" s="6">
        <v>2022</v>
      </c>
      <c r="C40" s="6" t="s">
        <v>72</v>
      </c>
      <c r="D40" s="4" t="s">
        <v>20</v>
      </c>
      <c r="E40" s="6" t="s">
        <v>24</v>
      </c>
      <c r="F40" s="6" t="s">
        <v>132</v>
      </c>
      <c r="G40" s="6">
        <v>4</v>
      </c>
      <c r="H40" s="4" t="s">
        <v>22</v>
      </c>
      <c r="I40" s="4" t="s">
        <v>23</v>
      </c>
      <c r="J40">
        <v>5</v>
      </c>
    </row>
    <row r="41" spans="1:10" x14ac:dyDescent="0.25">
      <c r="A41" s="6" t="s">
        <v>172</v>
      </c>
      <c r="B41" s="6">
        <v>2020</v>
      </c>
      <c r="C41" s="6" t="s">
        <v>73</v>
      </c>
      <c r="D41" s="4" t="s">
        <v>20</v>
      </c>
      <c r="E41" s="6" t="s">
        <v>24</v>
      </c>
      <c r="F41" s="6" t="s">
        <v>132</v>
      </c>
      <c r="G41" s="6">
        <v>5</v>
      </c>
      <c r="H41" s="4" t="s">
        <v>22</v>
      </c>
      <c r="I41" s="4" t="s">
        <v>23</v>
      </c>
      <c r="J41">
        <v>5</v>
      </c>
    </row>
    <row r="42" spans="1:10" x14ac:dyDescent="0.25">
      <c r="A42" s="6" t="s">
        <v>173</v>
      </c>
      <c r="B42" s="6">
        <v>2011</v>
      </c>
      <c r="C42" s="6" t="s">
        <v>74</v>
      </c>
      <c r="D42" s="4" t="s">
        <v>20</v>
      </c>
      <c r="E42" s="6" t="s">
        <v>24</v>
      </c>
      <c r="F42" s="6" t="s">
        <v>132</v>
      </c>
      <c r="G42" s="6">
        <v>14</v>
      </c>
      <c r="H42" s="4" t="s">
        <v>22</v>
      </c>
      <c r="I42" s="4" t="s">
        <v>23</v>
      </c>
      <c r="J42">
        <v>5</v>
      </c>
    </row>
    <row r="43" spans="1:10" x14ac:dyDescent="0.25">
      <c r="A43" s="6" t="s">
        <v>174</v>
      </c>
      <c r="B43" s="6">
        <v>2016</v>
      </c>
      <c r="C43" s="6" t="s">
        <v>75</v>
      </c>
      <c r="D43" s="4" t="s">
        <v>20</v>
      </c>
      <c r="E43" s="6" t="s">
        <v>24</v>
      </c>
      <c r="F43" s="6" t="s">
        <v>132</v>
      </c>
      <c r="G43" s="6">
        <v>10</v>
      </c>
      <c r="H43" s="4" t="s">
        <v>22</v>
      </c>
      <c r="I43" s="4" t="s">
        <v>23</v>
      </c>
      <c r="J43">
        <v>5</v>
      </c>
    </row>
    <row r="44" spans="1:10" x14ac:dyDescent="0.25">
      <c r="A44" s="6" t="s">
        <v>175</v>
      </c>
      <c r="B44" s="6">
        <v>2005</v>
      </c>
      <c r="C44" s="6" t="s">
        <v>76</v>
      </c>
      <c r="D44" s="4" t="s">
        <v>20</v>
      </c>
      <c r="E44" s="6" t="s">
        <v>24</v>
      </c>
      <c r="F44" s="6" t="s">
        <v>132</v>
      </c>
      <c r="G44" s="6">
        <v>20</v>
      </c>
      <c r="H44" s="4" t="s">
        <v>22</v>
      </c>
      <c r="I44" s="4" t="s">
        <v>23</v>
      </c>
      <c r="J44">
        <v>5</v>
      </c>
    </row>
    <row r="45" spans="1:10" x14ac:dyDescent="0.25">
      <c r="A45" s="6" t="s">
        <v>176</v>
      </c>
      <c r="B45" s="6">
        <v>2010</v>
      </c>
      <c r="C45" s="6" t="s">
        <v>77</v>
      </c>
      <c r="D45" s="4" t="s">
        <v>20</v>
      </c>
      <c r="E45" s="6" t="s">
        <v>24</v>
      </c>
      <c r="F45" s="6" t="s">
        <v>132</v>
      </c>
      <c r="G45" s="6">
        <v>15</v>
      </c>
      <c r="H45" s="4" t="s">
        <v>22</v>
      </c>
      <c r="I45" s="4" t="s">
        <v>23</v>
      </c>
      <c r="J45">
        <v>5</v>
      </c>
    </row>
    <row r="46" spans="1:10" x14ac:dyDescent="0.25">
      <c r="A46" s="6" t="s">
        <v>177</v>
      </c>
      <c r="B46" s="6">
        <v>2017</v>
      </c>
      <c r="C46" s="6" t="s">
        <v>78</v>
      </c>
      <c r="D46" s="4" t="s">
        <v>20</v>
      </c>
      <c r="E46" s="6" t="s">
        <v>24</v>
      </c>
      <c r="F46" s="6" t="s">
        <v>132</v>
      </c>
      <c r="G46" s="6">
        <v>9</v>
      </c>
      <c r="H46" s="4" t="s">
        <v>22</v>
      </c>
      <c r="I46" s="4" t="s">
        <v>23</v>
      </c>
      <c r="J46">
        <v>5</v>
      </c>
    </row>
    <row r="47" spans="1:10" x14ac:dyDescent="0.25">
      <c r="A47" s="6" t="s">
        <v>178</v>
      </c>
      <c r="B47" s="6">
        <v>2016</v>
      </c>
      <c r="C47" s="6" t="s">
        <v>79</v>
      </c>
      <c r="D47" s="4" t="s">
        <v>20</v>
      </c>
      <c r="E47" s="6" t="s">
        <v>24</v>
      </c>
      <c r="F47" s="6" t="s">
        <v>132</v>
      </c>
      <c r="G47" s="6">
        <v>10</v>
      </c>
      <c r="H47" s="4" t="s">
        <v>22</v>
      </c>
      <c r="I47" s="4" t="s">
        <v>23</v>
      </c>
      <c r="J47">
        <v>5</v>
      </c>
    </row>
    <row r="48" spans="1:10" x14ac:dyDescent="0.25">
      <c r="A48" s="6" t="s">
        <v>179</v>
      </c>
      <c r="B48" s="6">
        <v>2021</v>
      </c>
      <c r="C48" s="6" t="s">
        <v>80</v>
      </c>
      <c r="D48" s="4" t="s">
        <v>20</v>
      </c>
      <c r="E48" s="6" t="s">
        <v>24</v>
      </c>
      <c r="F48" s="6" t="s">
        <v>132</v>
      </c>
      <c r="G48" s="6">
        <v>4</v>
      </c>
      <c r="H48" s="4" t="s">
        <v>22</v>
      </c>
      <c r="I48" s="4" t="s">
        <v>23</v>
      </c>
      <c r="J48">
        <v>5</v>
      </c>
    </row>
    <row r="49" spans="1:10" x14ac:dyDescent="0.25">
      <c r="A49" s="6" t="s">
        <v>180</v>
      </c>
      <c r="B49" s="6">
        <v>2017</v>
      </c>
      <c r="C49" s="6" t="s">
        <v>81</v>
      </c>
      <c r="D49" s="4" t="s">
        <v>20</v>
      </c>
      <c r="E49" s="6" t="s">
        <v>24</v>
      </c>
      <c r="F49" s="6" t="s">
        <v>132</v>
      </c>
      <c r="G49" s="6">
        <v>9</v>
      </c>
      <c r="H49" s="4" t="s">
        <v>22</v>
      </c>
      <c r="I49" s="4" t="s">
        <v>23</v>
      </c>
      <c r="J49">
        <v>5</v>
      </c>
    </row>
    <row r="50" spans="1:10" x14ac:dyDescent="0.25">
      <c r="A50" s="6" t="s">
        <v>181</v>
      </c>
      <c r="B50" s="6">
        <v>2020</v>
      </c>
      <c r="C50" s="6" t="s">
        <v>82</v>
      </c>
      <c r="D50" s="4" t="s">
        <v>20</v>
      </c>
      <c r="E50" s="6" t="s">
        <v>24</v>
      </c>
      <c r="F50" s="6" t="s">
        <v>132</v>
      </c>
      <c r="G50" s="6">
        <v>6</v>
      </c>
      <c r="H50" s="4" t="s">
        <v>22</v>
      </c>
      <c r="I50" s="4" t="s">
        <v>23</v>
      </c>
      <c r="J50">
        <v>5</v>
      </c>
    </row>
    <row r="51" spans="1:10" x14ac:dyDescent="0.25">
      <c r="A51" s="6" t="s">
        <v>182</v>
      </c>
      <c r="B51" s="6">
        <v>2014</v>
      </c>
      <c r="C51" s="6" t="s">
        <v>83</v>
      </c>
      <c r="D51" s="4" t="s">
        <v>20</v>
      </c>
      <c r="E51" s="6" t="s">
        <v>24</v>
      </c>
      <c r="F51" s="6" t="s">
        <v>132</v>
      </c>
      <c r="G51" s="6">
        <v>11</v>
      </c>
      <c r="H51" s="4" t="s">
        <v>22</v>
      </c>
      <c r="I51" s="4" t="s">
        <v>23</v>
      </c>
      <c r="J51">
        <v>5</v>
      </c>
    </row>
    <row r="52" spans="1:10" x14ac:dyDescent="0.25">
      <c r="A52" s="6" t="s">
        <v>183</v>
      </c>
      <c r="B52" s="6">
        <v>2016</v>
      </c>
      <c r="C52" s="6" t="s">
        <v>84</v>
      </c>
      <c r="D52" s="4" t="s">
        <v>20</v>
      </c>
      <c r="E52" s="6" t="s">
        <v>24</v>
      </c>
      <c r="F52" s="6" t="s">
        <v>132</v>
      </c>
      <c r="G52" s="6">
        <v>9</v>
      </c>
      <c r="H52" s="4" t="s">
        <v>22</v>
      </c>
      <c r="I52" s="4" t="s">
        <v>23</v>
      </c>
      <c r="J52">
        <v>5</v>
      </c>
    </row>
    <row r="53" spans="1:10" x14ac:dyDescent="0.25">
      <c r="A53" s="6" t="s">
        <v>184</v>
      </c>
      <c r="B53" s="6">
        <v>2017</v>
      </c>
      <c r="C53" s="6" t="s">
        <v>85</v>
      </c>
      <c r="D53" s="4" t="s">
        <v>20</v>
      </c>
      <c r="E53" s="6" t="s">
        <v>24</v>
      </c>
      <c r="F53" s="6" t="s">
        <v>132</v>
      </c>
      <c r="G53" s="6">
        <v>9</v>
      </c>
      <c r="H53" s="4" t="s">
        <v>22</v>
      </c>
      <c r="I53" s="4" t="s">
        <v>23</v>
      </c>
      <c r="J53">
        <v>5</v>
      </c>
    </row>
    <row r="54" spans="1:10" x14ac:dyDescent="0.25">
      <c r="A54" s="6" t="s">
        <v>185</v>
      </c>
      <c r="B54" s="6">
        <v>2022</v>
      </c>
      <c r="C54" s="6" t="s">
        <v>86</v>
      </c>
      <c r="D54" s="4" t="s">
        <v>20</v>
      </c>
      <c r="E54" s="6" t="s">
        <v>24</v>
      </c>
      <c r="F54" s="6" t="s">
        <v>132</v>
      </c>
      <c r="G54" s="6">
        <v>4</v>
      </c>
      <c r="H54" s="4" t="s">
        <v>22</v>
      </c>
      <c r="I54" s="4" t="s">
        <v>23</v>
      </c>
      <c r="J54">
        <v>5</v>
      </c>
    </row>
    <row r="55" spans="1:10" x14ac:dyDescent="0.25">
      <c r="A55" s="6" t="s">
        <v>186</v>
      </c>
      <c r="B55" s="6">
        <v>2009</v>
      </c>
      <c r="C55" s="6" t="s">
        <v>87</v>
      </c>
      <c r="D55" s="4" t="s">
        <v>20</v>
      </c>
      <c r="E55" s="6" t="s">
        <v>24</v>
      </c>
      <c r="F55" s="6" t="s">
        <v>132</v>
      </c>
      <c r="G55" s="6">
        <v>17</v>
      </c>
      <c r="H55" s="4" t="s">
        <v>22</v>
      </c>
      <c r="I55" s="4" t="s">
        <v>23</v>
      </c>
      <c r="J55">
        <v>5</v>
      </c>
    </row>
    <row r="56" spans="1:10" x14ac:dyDescent="0.25">
      <c r="A56" s="6" t="s">
        <v>187</v>
      </c>
      <c r="B56" s="6">
        <v>2018</v>
      </c>
      <c r="C56" s="6" t="s">
        <v>88</v>
      </c>
      <c r="D56" s="4" t="s">
        <v>20</v>
      </c>
      <c r="E56" s="6" t="s">
        <v>24</v>
      </c>
      <c r="F56" s="6" t="s">
        <v>132</v>
      </c>
      <c r="G56" s="6">
        <v>7</v>
      </c>
      <c r="H56" s="4" t="s">
        <v>22</v>
      </c>
      <c r="I56" s="4" t="s">
        <v>23</v>
      </c>
      <c r="J56">
        <v>5</v>
      </c>
    </row>
    <row r="57" spans="1:10" x14ac:dyDescent="0.25">
      <c r="A57" s="6" t="s">
        <v>188</v>
      </c>
      <c r="B57" s="6">
        <v>2022</v>
      </c>
      <c r="C57" s="6" t="s">
        <v>89</v>
      </c>
      <c r="D57" s="4" t="s">
        <v>20</v>
      </c>
      <c r="E57" s="6" t="s">
        <v>24</v>
      </c>
      <c r="F57" s="6" t="s">
        <v>132</v>
      </c>
      <c r="G57" s="6">
        <v>4</v>
      </c>
      <c r="H57" s="4" t="s">
        <v>22</v>
      </c>
      <c r="I57" s="4" t="s">
        <v>23</v>
      </c>
      <c r="J57">
        <v>5</v>
      </c>
    </row>
    <row r="58" spans="1:10" x14ac:dyDescent="0.25">
      <c r="A58" s="6" t="s">
        <v>189</v>
      </c>
      <c r="B58" s="6">
        <v>2023</v>
      </c>
      <c r="C58" s="6" t="s">
        <v>90</v>
      </c>
      <c r="D58" s="4" t="s">
        <v>20</v>
      </c>
      <c r="E58" s="6" t="s">
        <v>26</v>
      </c>
      <c r="F58" s="6" t="s">
        <v>133</v>
      </c>
      <c r="G58" s="6">
        <v>2</v>
      </c>
      <c r="H58" s="4" t="s">
        <v>22</v>
      </c>
      <c r="I58" s="4" t="s">
        <v>23</v>
      </c>
      <c r="J58">
        <v>4</v>
      </c>
    </row>
    <row r="59" spans="1:10" x14ac:dyDescent="0.25">
      <c r="A59" s="6" t="s">
        <v>190</v>
      </c>
      <c r="B59" s="6">
        <v>2024</v>
      </c>
      <c r="C59" s="6" t="s">
        <v>91</v>
      </c>
      <c r="D59" s="4" t="s">
        <v>20</v>
      </c>
      <c r="E59" s="6" t="s">
        <v>26</v>
      </c>
      <c r="F59" s="6" t="s">
        <v>133</v>
      </c>
      <c r="G59" s="6">
        <v>1</v>
      </c>
      <c r="H59" s="4" t="s">
        <v>22</v>
      </c>
      <c r="I59" s="4" t="s">
        <v>23</v>
      </c>
      <c r="J59">
        <v>4</v>
      </c>
    </row>
    <row r="60" spans="1:10" x14ac:dyDescent="0.25">
      <c r="A60" s="6" t="s">
        <v>191</v>
      </c>
      <c r="B60" s="6">
        <v>2023</v>
      </c>
      <c r="C60" s="6" t="s">
        <v>92</v>
      </c>
      <c r="D60" s="4" t="s">
        <v>20</v>
      </c>
      <c r="E60" s="6" t="s">
        <v>26</v>
      </c>
      <c r="F60" s="6" t="s">
        <v>133</v>
      </c>
      <c r="G60" s="6">
        <v>3</v>
      </c>
      <c r="H60" s="4" t="s">
        <v>22</v>
      </c>
      <c r="I60" s="4" t="s">
        <v>23</v>
      </c>
      <c r="J60">
        <v>4</v>
      </c>
    </row>
    <row r="61" spans="1:10" x14ac:dyDescent="0.25">
      <c r="A61" s="6" t="s">
        <v>192</v>
      </c>
      <c r="B61" s="6">
        <v>2023</v>
      </c>
      <c r="C61" s="6" t="s">
        <v>93</v>
      </c>
      <c r="D61" s="4" t="s">
        <v>20</v>
      </c>
      <c r="E61" s="6" t="s">
        <v>26</v>
      </c>
      <c r="F61" s="6" t="s">
        <v>133</v>
      </c>
      <c r="G61" s="6">
        <v>2</v>
      </c>
      <c r="H61" s="4" t="s">
        <v>22</v>
      </c>
      <c r="I61" s="4" t="s">
        <v>23</v>
      </c>
      <c r="J61">
        <v>4</v>
      </c>
    </row>
    <row r="62" spans="1:10" x14ac:dyDescent="0.25">
      <c r="A62" s="6" t="s">
        <v>193</v>
      </c>
      <c r="B62" s="6">
        <v>2024</v>
      </c>
      <c r="C62" s="6" t="s">
        <v>94</v>
      </c>
      <c r="D62" s="4" t="s">
        <v>20</v>
      </c>
      <c r="E62" s="6" t="s">
        <v>26</v>
      </c>
      <c r="F62" s="6" t="s">
        <v>133</v>
      </c>
      <c r="G62" s="6">
        <v>1</v>
      </c>
      <c r="H62" s="4" t="s">
        <v>22</v>
      </c>
      <c r="I62" s="4" t="s">
        <v>23</v>
      </c>
      <c r="J62">
        <v>4</v>
      </c>
    </row>
    <row r="63" spans="1:10" x14ac:dyDescent="0.25">
      <c r="A63" s="6" t="s">
        <v>194</v>
      </c>
      <c r="B63" s="6">
        <v>2011</v>
      </c>
      <c r="C63" s="6" t="s">
        <v>95</v>
      </c>
      <c r="D63" s="4" t="s">
        <v>20</v>
      </c>
      <c r="E63" s="6" t="s">
        <v>26</v>
      </c>
      <c r="F63" s="6" t="s">
        <v>133</v>
      </c>
      <c r="G63" s="6">
        <v>14</v>
      </c>
      <c r="H63" s="4" t="s">
        <v>22</v>
      </c>
      <c r="I63" s="4" t="s">
        <v>23</v>
      </c>
      <c r="J63">
        <v>4</v>
      </c>
    </row>
    <row r="64" spans="1:10" x14ac:dyDescent="0.25">
      <c r="A64" s="6" t="s">
        <v>195</v>
      </c>
      <c r="B64" s="6">
        <v>2023</v>
      </c>
      <c r="C64" s="6" t="s">
        <v>96</v>
      </c>
      <c r="D64" s="4" t="s">
        <v>20</v>
      </c>
      <c r="E64" s="6" t="s">
        <v>26</v>
      </c>
      <c r="F64" s="6" t="s">
        <v>133</v>
      </c>
      <c r="G64" s="6">
        <v>2</v>
      </c>
      <c r="H64" s="4" t="s">
        <v>22</v>
      </c>
      <c r="I64" s="4" t="s">
        <v>23</v>
      </c>
      <c r="J64">
        <v>4</v>
      </c>
    </row>
    <row r="65" spans="1:10" x14ac:dyDescent="0.25">
      <c r="A65" s="6" t="s">
        <v>196</v>
      </c>
      <c r="B65" s="6">
        <v>2023</v>
      </c>
      <c r="C65" s="6" t="s">
        <v>97</v>
      </c>
      <c r="D65" s="4" t="s">
        <v>20</v>
      </c>
      <c r="E65" s="6" t="s">
        <v>26</v>
      </c>
      <c r="F65" s="6" t="s">
        <v>133</v>
      </c>
      <c r="G65" s="6">
        <v>2</v>
      </c>
      <c r="H65" s="4" t="s">
        <v>22</v>
      </c>
      <c r="I65" s="4" t="s">
        <v>23</v>
      </c>
      <c r="J65">
        <v>4</v>
      </c>
    </row>
    <row r="66" spans="1:10" x14ac:dyDescent="0.25">
      <c r="A66" s="6" t="s">
        <v>197</v>
      </c>
      <c r="B66" s="6">
        <v>2024</v>
      </c>
      <c r="C66" s="6" t="s">
        <v>98</v>
      </c>
      <c r="D66" s="4" t="s">
        <v>20</v>
      </c>
      <c r="E66" s="6" t="s">
        <v>26</v>
      </c>
      <c r="F66" s="6" t="s">
        <v>133</v>
      </c>
      <c r="G66" s="6">
        <v>1</v>
      </c>
      <c r="H66" s="4" t="s">
        <v>22</v>
      </c>
      <c r="I66" s="4" t="s">
        <v>23</v>
      </c>
      <c r="J66">
        <v>4</v>
      </c>
    </row>
    <row r="67" spans="1:10" x14ac:dyDescent="0.25">
      <c r="A67" s="6" t="s">
        <v>198</v>
      </c>
      <c r="B67" s="6">
        <v>2013</v>
      </c>
      <c r="C67" s="6" t="s">
        <v>99</v>
      </c>
      <c r="D67" s="4" t="s">
        <v>20</v>
      </c>
      <c r="E67" s="6" t="s">
        <v>26</v>
      </c>
      <c r="F67" s="6" t="s">
        <v>133</v>
      </c>
      <c r="G67" s="6">
        <v>12</v>
      </c>
      <c r="H67" s="4" t="s">
        <v>22</v>
      </c>
      <c r="I67" s="4" t="s">
        <v>23</v>
      </c>
      <c r="J67">
        <v>4</v>
      </c>
    </row>
    <row r="68" spans="1:10" x14ac:dyDescent="0.25">
      <c r="A68" s="6" t="s">
        <v>199</v>
      </c>
      <c r="B68" s="6">
        <v>2023</v>
      </c>
      <c r="C68" s="6" t="s">
        <v>100</v>
      </c>
      <c r="D68" s="4" t="s">
        <v>20</v>
      </c>
      <c r="E68" s="6" t="s">
        <v>26</v>
      </c>
      <c r="F68" s="6" t="s">
        <v>133</v>
      </c>
      <c r="G68" s="6">
        <v>2</v>
      </c>
      <c r="H68" s="4" t="s">
        <v>22</v>
      </c>
      <c r="I68" s="4" t="s">
        <v>23</v>
      </c>
      <c r="J68">
        <v>4</v>
      </c>
    </row>
    <row r="69" spans="1:10" x14ac:dyDescent="0.25">
      <c r="A69" s="6" t="s">
        <v>200</v>
      </c>
      <c r="B69" s="6">
        <v>2016</v>
      </c>
      <c r="C69" s="6" t="s">
        <v>101</v>
      </c>
      <c r="D69" s="4" t="s">
        <v>20</v>
      </c>
      <c r="E69" s="6" t="s">
        <v>26</v>
      </c>
      <c r="F69" s="6" t="s">
        <v>133</v>
      </c>
      <c r="G69" s="6">
        <v>10</v>
      </c>
      <c r="H69" s="4" t="s">
        <v>22</v>
      </c>
      <c r="I69" s="4" t="s">
        <v>23</v>
      </c>
      <c r="J69">
        <v>4</v>
      </c>
    </row>
    <row r="70" spans="1:10" x14ac:dyDescent="0.25">
      <c r="A70" s="6" t="s">
        <v>201</v>
      </c>
      <c r="B70" s="6">
        <v>2023</v>
      </c>
      <c r="C70" s="6" t="s">
        <v>102</v>
      </c>
      <c r="D70" s="4" t="s">
        <v>20</v>
      </c>
      <c r="E70" s="6" t="s">
        <v>26</v>
      </c>
      <c r="F70" s="6" t="s">
        <v>133</v>
      </c>
      <c r="G70" s="6">
        <v>2</v>
      </c>
      <c r="H70" s="4" t="s">
        <v>22</v>
      </c>
      <c r="I70" s="4" t="s">
        <v>23</v>
      </c>
      <c r="J70">
        <v>4</v>
      </c>
    </row>
    <row r="71" spans="1:10" x14ac:dyDescent="0.25">
      <c r="A71" s="6" t="s">
        <v>202</v>
      </c>
      <c r="B71" s="6">
        <v>2023</v>
      </c>
      <c r="C71" s="6" t="s">
        <v>103</v>
      </c>
      <c r="D71" s="4" t="s">
        <v>20</v>
      </c>
      <c r="E71" s="6" t="s">
        <v>26</v>
      </c>
      <c r="F71" s="6" t="s">
        <v>133</v>
      </c>
      <c r="G71" s="6">
        <v>3</v>
      </c>
      <c r="H71" s="4" t="s">
        <v>22</v>
      </c>
      <c r="I71" s="4" t="s">
        <v>23</v>
      </c>
      <c r="J71">
        <v>4</v>
      </c>
    </row>
    <row r="72" spans="1:10" x14ac:dyDescent="0.25">
      <c r="A72" s="6" t="s">
        <v>203</v>
      </c>
      <c r="B72" s="6">
        <v>2023</v>
      </c>
      <c r="C72" s="6" t="s">
        <v>104</v>
      </c>
      <c r="D72" s="4" t="s">
        <v>20</v>
      </c>
      <c r="E72" s="6" t="s">
        <v>26</v>
      </c>
      <c r="F72" s="6" t="s">
        <v>133</v>
      </c>
      <c r="G72" s="6">
        <v>2</v>
      </c>
      <c r="H72" s="4" t="s">
        <v>22</v>
      </c>
      <c r="I72" s="4" t="s">
        <v>23</v>
      </c>
      <c r="J72">
        <v>4</v>
      </c>
    </row>
    <row r="73" spans="1:10" x14ac:dyDescent="0.25">
      <c r="A73" s="6" t="s">
        <v>204</v>
      </c>
      <c r="B73" s="6">
        <v>2016</v>
      </c>
      <c r="C73" s="6" t="s">
        <v>105</v>
      </c>
      <c r="D73" s="4" t="s">
        <v>20</v>
      </c>
      <c r="E73" s="6" t="s">
        <v>26</v>
      </c>
      <c r="F73" s="6" t="s">
        <v>133</v>
      </c>
      <c r="G73" s="6">
        <v>10</v>
      </c>
      <c r="H73" s="4" t="s">
        <v>22</v>
      </c>
      <c r="I73" s="4" t="s">
        <v>23</v>
      </c>
      <c r="J73">
        <v>4</v>
      </c>
    </row>
    <row r="74" spans="1:10" x14ac:dyDescent="0.25">
      <c r="A74" s="6" t="s">
        <v>205</v>
      </c>
      <c r="B74" s="6">
        <v>2020</v>
      </c>
      <c r="C74" s="6" t="s">
        <v>106</v>
      </c>
      <c r="D74" s="4" t="s">
        <v>20</v>
      </c>
      <c r="E74" s="6" t="s">
        <v>26</v>
      </c>
      <c r="F74" s="6" t="s">
        <v>133</v>
      </c>
      <c r="G74" s="6">
        <v>6</v>
      </c>
      <c r="H74" s="4" t="s">
        <v>22</v>
      </c>
      <c r="I74" s="4" t="s">
        <v>23</v>
      </c>
      <c r="J74">
        <v>4</v>
      </c>
    </row>
    <row r="75" spans="1:10" x14ac:dyDescent="0.25">
      <c r="A75" s="6" t="s">
        <v>206</v>
      </c>
      <c r="B75" s="6">
        <v>2009</v>
      </c>
      <c r="C75" s="6" t="s">
        <v>107</v>
      </c>
      <c r="D75" s="4" t="s">
        <v>20</v>
      </c>
      <c r="E75" s="6" t="s">
        <v>21</v>
      </c>
      <c r="F75" s="6" t="s">
        <v>134</v>
      </c>
      <c r="G75" s="6">
        <v>17</v>
      </c>
      <c r="H75" s="4" t="s">
        <v>22</v>
      </c>
      <c r="I75" s="4" t="s">
        <v>23</v>
      </c>
      <c r="J75">
        <v>7</v>
      </c>
    </row>
    <row r="76" spans="1:10" x14ac:dyDescent="0.25">
      <c r="A76" s="6" t="s">
        <v>207</v>
      </c>
      <c r="B76" s="6">
        <v>2008</v>
      </c>
      <c r="C76" s="6" t="s">
        <v>108</v>
      </c>
      <c r="D76" s="4" t="s">
        <v>20</v>
      </c>
      <c r="E76" s="6" t="s">
        <v>21</v>
      </c>
      <c r="F76" s="6" t="s">
        <v>134</v>
      </c>
      <c r="G76" s="6">
        <v>17</v>
      </c>
      <c r="H76" s="4" t="s">
        <v>22</v>
      </c>
      <c r="I76" s="4" t="s">
        <v>23</v>
      </c>
      <c r="J76">
        <v>7</v>
      </c>
    </row>
    <row r="77" spans="1:10" x14ac:dyDescent="0.25">
      <c r="A77" s="6" t="s">
        <v>208</v>
      </c>
      <c r="B77" s="6">
        <v>2014</v>
      </c>
      <c r="C77" s="6" t="s">
        <v>109</v>
      </c>
      <c r="D77" s="4" t="s">
        <v>20</v>
      </c>
      <c r="E77" s="6" t="s">
        <v>21</v>
      </c>
      <c r="F77" s="6" t="s">
        <v>134</v>
      </c>
      <c r="G77" s="6">
        <v>11</v>
      </c>
      <c r="H77" s="4" t="s">
        <v>22</v>
      </c>
      <c r="I77" s="4" t="s">
        <v>23</v>
      </c>
      <c r="J77">
        <v>7</v>
      </c>
    </row>
    <row r="78" spans="1:10" x14ac:dyDescent="0.25">
      <c r="A78" s="6" t="s">
        <v>209</v>
      </c>
      <c r="B78" s="6">
        <v>2010</v>
      </c>
      <c r="C78" s="6" t="s">
        <v>110</v>
      </c>
      <c r="D78" s="4" t="s">
        <v>20</v>
      </c>
      <c r="E78" s="6" t="s">
        <v>21</v>
      </c>
      <c r="F78" s="6" t="s">
        <v>134</v>
      </c>
      <c r="G78" s="6">
        <v>15</v>
      </c>
      <c r="H78" s="4" t="s">
        <v>22</v>
      </c>
      <c r="I78" s="4" t="s">
        <v>23</v>
      </c>
      <c r="J78">
        <v>7</v>
      </c>
    </row>
    <row r="79" spans="1:10" x14ac:dyDescent="0.25">
      <c r="A79" s="6" t="s">
        <v>210</v>
      </c>
      <c r="B79" s="6">
        <v>2005</v>
      </c>
      <c r="C79" s="6" t="s">
        <v>111</v>
      </c>
      <c r="D79" s="4" t="s">
        <v>20</v>
      </c>
      <c r="E79" s="6" t="s">
        <v>21</v>
      </c>
      <c r="F79" s="6" t="s">
        <v>134</v>
      </c>
      <c r="G79" s="6">
        <v>20</v>
      </c>
      <c r="H79" s="4" t="s">
        <v>22</v>
      </c>
      <c r="I79" s="4" t="s">
        <v>23</v>
      </c>
      <c r="J79">
        <v>7</v>
      </c>
    </row>
    <row r="80" spans="1:10" x14ac:dyDescent="0.25">
      <c r="A80" s="6" t="s">
        <v>211</v>
      </c>
      <c r="B80" s="6">
        <v>2005</v>
      </c>
      <c r="C80" s="6" t="s">
        <v>112</v>
      </c>
      <c r="D80" s="4" t="s">
        <v>20</v>
      </c>
      <c r="E80" s="6" t="s">
        <v>21</v>
      </c>
      <c r="F80" s="6" t="s">
        <v>134</v>
      </c>
      <c r="G80" s="6">
        <v>20</v>
      </c>
      <c r="H80" s="4" t="s">
        <v>22</v>
      </c>
      <c r="I80" s="4" t="s">
        <v>23</v>
      </c>
      <c r="J80">
        <v>7</v>
      </c>
    </row>
    <row r="81" spans="1:10" x14ac:dyDescent="0.25">
      <c r="A81" s="6" t="s">
        <v>25</v>
      </c>
      <c r="B81" s="6">
        <v>2026</v>
      </c>
      <c r="C81" s="6" t="s">
        <v>113</v>
      </c>
      <c r="D81" s="4" t="s">
        <v>27</v>
      </c>
      <c r="E81" s="6" t="s">
        <v>130</v>
      </c>
      <c r="F81" s="6" t="s">
        <v>131</v>
      </c>
      <c r="G81" s="6">
        <v>0</v>
      </c>
      <c r="H81" s="4" t="s">
        <v>22</v>
      </c>
      <c r="I81" s="4" t="s">
        <v>23</v>
      </c>
      <c r="J81">
        <v>0</v>
      </c>
    </row>
    <row r="82" spans="1:10" x14ac:dyDescent="0.25">
      <c r="A82" s="6" t="s">
        <v>212</v>
      </c>
      <c r="B82" s="6">
        <v>2024</v>
      </c>
      <c r="C82" s="6" t="s">
        <v>114</v>
      </c>
      <c r="D82" s="4" t="s">
        <v>27</v>
      </c>
      <c r="E82" s="6" t="s">
        <v>130</v>
      </c>
      <c r="F82" s="6" t="s">
        <v>131</v>
      </c>
      <c r="G82" s="6">
        <v>1</v>
      </c>
      <c r="H82" s="4" t="s">
        <v>22</v>
      </c>
      <c r="I82" s="4" t="s">
        <v>23</v>
      </c>
      <c r="J82">
        <v>0</v>
      </c>
    </row>
    <row r="83" spans="1:10" x14ac:dyDescent="0.25">
      <c r="A83" s="6" t="s">
        <v>213</v>
      </c>
      <c r="B83" s="6">
        <v>2016</v>
      </c>
      <c r="C83" s="6" t="s">
        <v>115</v>
      </c>
      <c r="D83" s="4" t="s">
        <v>27</v>
      </c>
      <c r="E83" s="6" t="s">
        <v>28</v>
      </c>
      <c r="F83" s="6" t="s">
        <v>135</v>
      </c>
      <c r="G83" s="6">
        <v>10</v>
      </c>
      <c r="H83" s="4" t="s">
        <v>22</v>
      </c>
      <c r="I83" s="4" t="s">
        <v>23</v>
      </c>
      <c r="J83">
        <v>0</v>
      </c>
    </row>
    <row r="84" spans="1:10" x14ac:dyDescent="0.25">
      <c r="A84" s="6" t="s">
        <v>214</v>
      </c>
      <c r="B84" s="6">
        <v>2008</v>
      </c>
      <c r="C84" s="6" t="s">
        <v>116</v>
      </c>
      <c r="D84" s="4" t="s">
        <v>27</v>
      </c>
      <c r="E84" s="6" t="s">
        <v>28</v>
      </c>
      <c r="F84" s="6" t="s">
        <v>135</v>
      </c>
      <c r="G84" s="6">
        <v>17</v>
      </c>
      <c r="H84" s="4" t="s">
        <v>22</v>
      </c>
      <c r="I84" s="4" t="s">
        <v>23</v>
      </c>
      <c r="J84">
        <v>0</v>
      </c>
    </row>
    <row r="85" spans="1:10" x14ac:dyDescent="0.25">
      <c r="A85" s="6" t="s">
        <v>215</v>
      </c>
      <c r="B85" s="6">
        <v>2016</v>
      </c>
      <c r="C85" s="6" t="s">
        <v>117</v>
      </c>
      <c r="D85" s="4" t="s">
        <v>27</v>
      </c>
      <c r="E85" s="6" t="s">
        <v>28</v>
      </c>
      <c r="F85" s="6" t="s">
        <v>135</v>
      </c>
      <c r="G85" s="6">
        <v>9</v>
      </c>
      <c r="H85" s="4" t="s">
        <v>22</v>
      </c>
      <c r="I85" s="4" t="s">
        <v>23</v>
      </c>
      <c r="J85">
        <v>0</v>
      </c>
    </row>
    <row r="86" spans="1:10" x14ac:dyDescent="0.25">
      <c r="A86" s="6" t="s">
        <v>216</v>
      </c>
      <c r="B86" s="6">
        <v>2016</v>
      </c>
      <c r="C86" s="6" t="s">
        <v>118</v>
      </c>
      <c r="D86" s="4" t="s">
        <v>27</v>
      </c>
      <c r="E86" s="6" t="s">
        <v>28</v>
      </c>
      <c r="F86" s="6" t="s">
        <v>135</v>
      </c>
      <c r="G86" s="6">
        <v>9</v>
      </c>
      <c r="H86" s="4" t="s">
        <v>22</v>
      </c>
      <c r="I86" s="4" t="s">
        <v>23</v>
      </c>
      <c r="J86">
        <v>0</v>
      </c>
    </row>
    <row r="87" spans="1:10" x14ac:dyDescent="0.25">
      <c r="A87" s="6" t="s">
        <v>217</v>
      </c>
      <c r="B87" s="6">
        <v>2004</v>
      </c>
      <c r="C87" s="6" t="s">
        <v>119</v>
      </c>
      <c r="D87" s="5" t="s">
        <v>27</v>
      </c>
      <c r="E87" s="6" t="s">
        <v>28</v>
      </c>
      <c r="F87" s="6" t="s">
        <v>135</v>
      </c>
      <c r="G87" s="6">
        <v>21</v>
      </c>
      <c r="H87" s="4" t="s">
        <v>22</v>
      </c>
      <c r="I87" s="4" t="s">
        <v>23</v>
      </c>
      <c r="J87">
        <v>0</v>
      </c>
    </row>
  </sheetData>
  <dataValidations count="3">
    <dataValidation type="list" error="اختر من القائمة فقط" prompt="اختر السلك" sqref="D5:D990" xr:uid="{00000000-0002-0000-0000-000000000000}">
      <formula1>"أساتذة محاضرون,أساتذة مساعدون,طلبة دكتوراه,إداريون وتقنيون"</formula1>
    </dataValidation>
    <dataValidation type="list" sqref="H3:H990" xr:uid="{00000000-0002-0000-0000-000001000000}">
      <formula1>"مترشح,لجنة,إدارة"</formula1>
    </dataValidation>
    <dataValidation type="list" sqref="I3:I990" xr:uid="{00000000-0002-0000-0000-000002000000}">
      <formula1>"active,inactive"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المستخدمون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 connect</cp:lastModifiedBy>
  <dcterms:created xsi:type="dcterms:W3CDTF">2026-03-21T13:45:26Z</dcterms:created>
  <dcterms:modified xsi:type="dcterms:W3CDTF">2026-03-22T15:30:03Z</dcterms:modified>
</cp:coreProperties>
</file>